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5"/>
    <sheet state="visible" name="Balance Sheet" sheetId="2" r:id="rId6"/>
    <sheet state="visible" name="Cash Flow" sheetId="3" r:id="rId7"/>
  </sheets>
  <definedNames/>
  <calcPr/>
</workbook>
</file>

<file path=xl/sharedStrings.xml><?xml version="1.0" encoding="utf-8"?>
<sst xmlns="http://schemas.openxmlformats.org/spreadsheetml/2006/main" count="55" uniqueCount="39">
  <si>
    <t>Titan Company - Income Statement 4 (₹ Cr)</t>
  </si>
  <si>
    <t>FY22</t>
  </si>
  <si>
    <t>FY23</t>
  </si>
  <si>
    <t>FY24</t>
  </si>
  <si>
    <t>FY25</t>
  </si>
  <si>
    <t>FY26</t>
  </si>
  <si>
    <t>FY27E</t>
  </si>
  <si>
    <t>FY28E</t>
  </si>
  <si>
    <t>FY29E</t>
  </si>
  <si>
    <t>Revenue</t>
  </si>
  <si>
    <t>Total Expenses</t>
  </si>
  <si>
    <t>Operating Profit (EBIDTA)</t>
  </si>
  <si>
    <t>Other Income</t>
  </si>
  <si>
    <t>Depreciation</t>
  </si>
  <si>
    <t>Interest</t>
  </si>
  <si>
    <t>Profit Before Tax</t>
  </si>
  <si>
    <t>Tax%</t>
  </si>
  <si>
    <t>Net Profit</t>
  </si>
  <si>
    <t>Revenue Growth%</t>
  </si>
  <si>
    <t>Expense % of Revenue.</t>
  </si>
  <si>
    <t>Titan Company - Balance Sheet(₹ Cr)</t>
  </si>
  <si>
    <t>Equity Share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</si>
  <si>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</si>
  <si>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</si>
  <si>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</si>
  <si>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</si>
  <si>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</si>
  <si>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</si>
  <si>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</si>
  <si>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</si>
  <si>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</si>
  <si>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Titan Company - Cash Flow Statement(₹ Cr)</t>
  </si>
  <si>
    <t>Cash From Operating Activities</t>
  </si>
  <si>
    <t>Cash From Investing Activities</t>
  </si>
  <si>
    <t>Cash From Financing Activities</t>
  </si>
  <si>
    <t>Net Cash Flow</t>
  </si>
  <si>
    <t>Free Cash Flow</t>
  </si>
  <si>
    <t>CFO/OP</t>
  </si>
  <si>
    <t>Capex(Approx)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</si>
</sst>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" t="s">
        <v>0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>
      <c r="A4" s="1" t="s">
        <v>9</v>
      </c>
      <c r="B4" s="2">
        <v>28799.0</v>
      </c>
      <c r="C4" s="2">
        <v>40575.0</v>
      </c>
      <c r="D4" s="2">
        <v>51084.0</v>
      </c>
      <c r="E4" s="2">
        <v>60456.0</v>
      </c>
      <c r="F4" s="2">
        <v>87584.0</v>
      </c>
      <c r="G4" s="3">
        <f t="shared" ref="G4:I4" si="1">F4*1.2</f>
        <v>105100.8</v>
      </c>
      <c r="H4" s="3">
        <f t="shared" si="1"/>
        <v>126120.96</v>
      </c>
      <c r="I4" s="3">
        <f t="shared" si="1"/>
        <v>151345.152</v>
      </c>
    </row>
    <row r="5">
      <c r="A5" s="1" t="s">
        <v>10</v>
      </c>
      <c r="B5" s="2">
        <v>25455.0</v>
      </c>
      <c r="C5" s="2">
        <v>35693.0</v>
      </c>
      <c r="D5" s="2">
        <v>45792.0</v>
      </c>
      <c r="E5" s="2">
        <v>54762.0</v>
      </c>
      <c r="F5" s="2">
        <v>79229.0</v>
      </c>
      <c r="G5" s="3">
        <f t="shared" ref="G5:I5" si="2">G4*0.9</f>
        <v>94590.72</v>
      </c>
      <c r="H5" s="3">
        <f t="shared" si="2"/>
        <v>113508.864</v>
      </c>
      <c r="I5" s="3">
        <f t="shared" si="2"/>
        <v>136210.6368</v>
      </c>
    </row>
    <row r="6">
      <c r="A6" s="1" t="s">
        <v>11</v>
      </c>
      <c r="B6" s="4">
        <f t="shared" ref="B6:I6" si="3">B4-B5</f>
        <v>3344</v>
      </c>
      <c r="C6" s="4">
        <f t="shared" si="3"/>
        <v>4882</v>
      </c>
      <c r="D6" s="4">
        <f t="shared" si="3"/>
        <v>5292</v>
      </c>
      <c r="E6" s="4">
        <f t="shared" si="3"/>
        <v>5694</v>
      </c>
      <c r="F6" s="4">
        <f t="shared" si="3"/>
        <v>8355</v>
      </c>
      <c r="G6" s="3">
        <f t="shared" si="3"/>
        <v>10510.08</v>
      </c>
      <c r="H6" s="3">
        <f t="shared" si="3"/>
        <v>12612.096</v>
      </c>
      <c r="I6" s="3">
        <f t="shared" si="3"/>
        <v>15134.5152</v>
      </c>
    </row>
    <row r="7">
      <c r="A7" s="1" t="s">
        <v>12</v>
      </c>
      <c r="B7" s="5">
        <v>177.0</v>
      </c>
      <c r="C7" s="5">
        <v>306.0</v>
      </c>
      <c r="D7" s="5">
        <v>534.0</v>
      </c>
      <c r="E7" s="5">
        <v>487.0</v>
      </c>
      <c r="F7" s="5">
        <v>452.0</v>
      </c>
      <c r="G7" s="5">
        <v>452.0</v>
      </c>
      <c r="H7" s="5">
        <v>452.0</v>
      </c>
      <c r="I7" s="5">
        <v>452.0</v>
      </c>
      <c r="J7" s="5"/>
    </row>
    <row r="8">
      <c r="A8" s="1" t="s">
        <v>13</v>
      </c>
      <c r="B8" s="5">
        <v>399.0</v>
      </c>
      <c r="C8" s="5">
        <v>441.0</v>
      </c>
      <c r="D8" s="5">
        <v>584.0</v>
      </c>
      <c r="E8" s="5">
        <v>693.0</v>
      </c>
      <c r="F8" s="5">
        <v>826.0</v>
      </c>
      <c r="G8" s="3">
        <f t="shared" ref="G8:I8" si="4">F8*1.1</f>
        <v>908.6</v>
      </c>
      <c r="H8" s="3">
        <f t="shared" si="4"/>
        <v>999.46</v>
      </c>
      <c r="I8" s="3">
        <f t="shared" si="4"/>
        <v>1099.406</v>
      </c>
    </row>
    <row r="9">
      <c r="A9" s="1" t="s">
        <v>14</v>
      </c>
      <c r="B9" s="5">
        <v>218.0</v>
      </c>
      <c r="C9" s="5">
        <v>380.0</v>
      </c>
      <c r="D9" s="5">
        <v>619.0</v>
      </c>
      <c r="E9" s="5">
        <v>953.0</v>
      </c>
      <c r="F9" s="2">
        <v>1180.0</v>
      </c>
      <c r="G9" s="3">
        <f t="shared" ref="G9:I9" si="5">F9*1.5</f>
        <v>1770</v>
      </c>
      <c r="H9" s="3">
        <f t="shared" si="5"/>
        <v>2655</v>
      </c>
      <c r="I9" s="3">
        <f t="shared" si="5"/>
        <v>3982.5</v>
      </c>
    </row>
    <row r="10">
      <c r="A10" s="1" t="s">
        <v>15</v>
      </c>
      <c r="B10" s="4">
        <f t="shared" ref="B10:I10" si="6">B6+B7-B8-B9</f>
        <v>2904</v>
      </c>
      <c r="C10" s="4">
        <f t="shared" si="6"/>
        <v>4367</v>
      </c>
      <c r="D10" s="4">
        <f t="shared" si="6"/>
        <v>4623</v>
      </c>
      <c r="E10" s="4">
        <f t="shared" si="6"/>
        <v>4535</v>
      </c>
      <c r="F10" s="4">
        <f t="shared" si="6"/>
        <v>6801</v>
      </c>
      <c r="G10" s="3">
        <f t="shared" si="6"/>
        <v>8283.48</v>
      </c>
      <c r="H10" s="3">
        <f t="shared" si="6"/>
        <v>9409.636</v>
      </c>
      <c r="I10" s="3">
        <f t="shared" si="6"/>
        <v>10504.6092</v>
      </c>
    </row>
    <row r="11">
      <c r="A11" s="1" t="s">
        <v>16</v>
      </c>
      <c r="B11" s="5">
        <v>0.24</v>
      </c>
      <c r="C11" s="5">
        <v>0.26</v>
      </c>
      <c r="D11" s="5">
        <v>0.24</v>
      </c>
      <c r="E11" s="5">
        <v>0.26</v>
      </c>
      <c r="F11" s="5">
        <v>0.25</v>
      </c>
      <c r="G11" s="5">
        <v>0.25</v>
      </c>
      <c r="H11" s="5">
        <v>0.25</v>
      </c>
      <c r="I11" s="5">
        <v>0.25</v>
      </c>
    </row>
    <row r="12">
      <c r="A12" s="1" t="s">
        <v>17</v>
      </c>
      <c r="B12" s="4">
        <f t="shared" ref="B12:I12" si="7">B10-(B10*B11)</f>
        <v>2207.04</v>
      </c>
      <c r="C12" s="4">
        <f t="shared" si="7"/>
        <v>3231.58</v>
      </c>
      <c r="D12" s="4">
        <f t="shared" si="7"/>
        <v>3513.48</v>
      </c>
      <c r="E12" s="4">
        <f t="shared" si="7"/>
        <v>3355.9</v>
      </c>
      <c r="F12" s="4">
        <f t="shared" si="7"/>
        <v>5100.75</v>
      </c>
      <c r="G12" s="3">
        <f t="shared" si="7"/>
        <v>6212.61</v>
      </c>
      <c r="H12" s="3">
        <f t="shared" si="7"/>
        <v>7057.227</v>
      </c>
      <c r="I12" s="3">
        <f t="shared" si="7"/>
        <v>7878.4569</v>
      </c>
    </row>
    <row r="15">
      <c r="A15" s="1" t="s">
        <v>18</v>
      </c>
      <c r="C15" s="6">
        <f t="shared" ref="C15:F15" si="8">(C4-B4)/B4</f>
        <v>0.4089030869</v>
      </c>
      <c r="D15" s="6">
        <f t="shared" si="8"/>
        <v>0.2590018484</v>
      </c>
      <c r="E15" s="6">
        <f t="shared" si="8"/>
        <v>0.1834625323</v>
      </c>
      <c r="F15" s="6">
        <f t="shared" si="8"/>
        <v>0.4487230382</v>
      </c>
      <c r="G15" s="7">
        <v>0.2</v>
      </c>
      <c r="H15" s="7">
        <v>0.2</v>
      </c>
      <c r="I15" s="7">
        <v>0.2</v>
      </c>
    </row>
    <row r="16">
      <c r="A16" s="1" t="s">
        <v>19</v>
      </c>
      <c r="B16" s="6">
        <f t="shared" ref="B16:I16" si="9">B5/B4</f>
        <v>0.8838848571</v>
      </c>
      <c r="C16" s="6">
        <f t="shared" si="9"/>
        <v>0.8796796057</v>
      </c>
      <c r="D16" s="6">
        <f t="shared" si="9"/>
        <v>0.8964059197</v>
      </c>
      <c r="E16" s="6">
        <f t="shared" si="9"/>
        <v>0.9058157999</v>
      </c>
      <c r="F16" s="6">
        <f t="shared" si="9"/>
        <v>0.9046058641</v>
      </c>
      <c r="G16" s="6">
        <f t="shared" si="9"/>
        <v>0.9</v>
      </c>
      <c r="H16" s="6">
        <f t="shared" si="9"/>
        <v>0.9</v>
      </c>
      <c r="I16" s="6">
        <f t="shared" si="9"/>
        <v>0.9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20</v>
      </c>
      <c r="B1" s="1"/>
      <c r="C1" s="1"/>
      <c r="D1" s="1"/>
      <c r="E1" s="1"/>
    </row>
    <row r="3">
      <c r="A3" s="1"/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  <c r="G3" s="1" t="s">
        <v>6</v>
      </c>
      <c r="H3" s="1" t="s">
        <v>7</v>
      </c>
      <c r="I3" s="1" t="s">
        <v>8</v>
      </c>
    </row>
    <row r="4">
      <c r="A4" s="1" t="s">
        <v>21</v>
      </c>
      <c r="B4" s="5">
        <v>89.0</v>
      </c>
      <c r="C4" s="5">
        <v>89.0</v>
      </c>
      <c r="D4" s="5">
        <v>89.0</v>
      </c>
      <c r="E4" s="5">
        <v>89.0</v>
      </c>
      <c r="F4" s="5">
        <v>89.0</v>
      </c>
      <c r="G4" s="10">
        <f t="shared" ref="G4:I4" si="1">F4</f>
        <v>89</v>
      </c>
      <c r="H4" s="10">
        <f t="shared" si="1"/>
        <v>89</v>
      </c>
      <c r="I4" s="10">
        <f t="shared" si="1"/>
        <v>89</v>
      </c>
    </row>
    <row r="5">
      <c r="A5" s="1" t="s">
        <v>22</v>
      </c>
      <c r="B5" s="2">
        <v>9214.0</v>
      </c>
      <c r="C5" s="2">
        <v>11762.0</v>
      </c>
      <c r="D5" s="2">
        <v>9304.0</v>
      </c>
      <c r="E5" s="2">
        <v>11535.0</v>
      </c>
      <c r="F5" s="2">
        <v>15614.0</v>
      </c>
      <c r="G5" s="4">
        <f>F5+'Income Statement'!G12</f>
        <v>21826.61</v>
      </c>
      <c r="H5" s="4">
        <f>G5+'Income Statement'!H12</f>
        <v>28883.837</v>
      </c>
      <c r="I5" s="4">
        <f>H5+'Income Statement'!I12</f>
        <v>36762.2939</v>
      </c>
    </row>
    <row r="6">
      <c r="A6" s="1" t="s">
        <v>23</v>
      </c>
      <c r="B6" s="2">
        <v>7275.0</v>
      </c>
      <c r="C6" s="2">
        <v>9367.0</v>
      </c>
      <c r="D6" s="2">
        <v>15528.0</v>
      </c>
      <c r="E6" s="2">
        <v>20777.0</v>
      </c>
      <c r="F6" s="2">
        <v>14551.0</v>
      </c>
      <c r="G6" s="3">
        <f t="shared" ref="G6:I6" si="2">F6*1.05</f>
        <v>15278.55</v>
      </c>
      <c r="H6" s="3">
        <f t="shared" si="2"/>
        <v>16042.4775</v>
      </c>
      <c r="I6" s="3">
        <f t="shared" si="2"/>
        <v>16844.60138</v>
      </c>
    </row>
    <row r="7">
      <c r="A7" s="1" t="s">
        <v>24</v>
      </c>
      <c r="B7" s="2">
        <v>4610.0</v>
      </c>
      <c r="C7" s="2">
        <v>5802.0</v>
      </c>
      <c r="D7" s="2">
        <v>6626.0</v>
      </c>
      <c r="E7" s="2">
        <v>8244.0</v>
      </c>
      <c r="F7" s="2">
        <v>30307.0</v>
      </c>
      <c r="G7" s="3">
        <f t="shared" ref="G7:I7" si="3">F7*1.05</f>
        <v>31822.35</v>
      </c>
      <c r="H7" s="3">
        <f t="shared" si="3"/>
        <v>33413.4675</v>
      </c>
      <c r="I7" s="3">
        <f t="shared" si="3"/>
        <v>35084.14088</v>
      </c>
    </row>
    <row r="8">
      <c r="A8" s="1" t="s">
        <v>25</v>
      </c>
      <c r="B8" s="3">
        <f t="shared" ref="B8:I8" si="4">SUM(B4:B7)</f>
        <v>21188</v>
      </c>
      <c r="C8" s="3">
        <f t="shared" si="4"/>
        <v>27020</v>
      </c>
      <c r="D8" s="3">
        <f t="shared" si="4"/>
        <v>31547</v>
      </c>
      <c r="E8" s="3">
        <f t="shared" si="4"/>
        <v>40645</v>
      </c>
      <c r="F8" s="3">
        <f t="shared" si="4"/>
        <v>60561</v>
      </c>
      <c r="G8" s="3">
        <f t="shared" si="4"/>
        <v>69016.51</v>
      </c>
      <c r="H8" s="3">
        <f t="shared" si="4"/>
        <v>78428.782</v>
      </c>
      <c r="I8" s="3">
        <f t="shared" si="4"/>
        <v>88780.03615</v>
      </c>
    </row>
    <row r="10">
      <c r="A10" s="1" t="s">
        <v>26</v>
      </c>
      <c r="B10" s="2">
        <v>2544.0</v>
      </c>
      <c r="C10" s="2">
        <v>2998.0</v>
      </c>
      <c r="D10" s="2">
        <v>3709.0</v>
      </c>
      <c r="E10" s="2">
        <v>4062.0</v>
      </c>
      <c r="F10" s="2">
        <v>6906.0</v>
      </c>
      <c r="G10" s="11">
        <f t="shared" ref="G10:I10" si="5">F10*1.1</f>
        <v>7596.6</v>
      </c>
      <c r="H10" s="11">
        <f t="shared" si="5"/>
        <v>8356.26</v>
      </c>
      <c r="I10" s="11">
        <f t="shared" si="5"/>
        <v>9191.886</v>
      </c>
    </row>
    <row r="11">
      <c r="A11" s="1" t="s">
        <v>27</v>
      </c>
      <c r="B11" s="2">
        <v>85.0</v>
      </c>
      <c r="C11" s="2">
        <v>144.0</v>
      </c>
      <c r="D11" s="2">
        <v>97.0</v>
      </c>
      <c r="E11" s="2">
        <v>105.0</v>
      </c>
      <c r="F11" s="2">
        <v>135.0</v>
      </c>
      <c r="G11" s="11">
        <f t="shared" ref="G11:I11" si="6">F11*1.1</f>
        <v>148.5</v>
      </c>
      <c r="H11" s="11">
        <f t="shared" si="6"/>
        <v>163.35</v>
      </c>
      <c r="I11" s="11">
        <f t="shared" si="6"/>
        <v>179.685</v>
      </c>
    </row>
    <row r="12">
      <c r="A12" s="1" t="s">
        <v>28</v>
      </c>
      <c r="B12" s="5">
        <v>294.0</v>
      </c>
      <c r="C12" s="2">
        <v>2515.0</v>
      </c>
      <c r="D12" s="2">
        <v>2345.0</v>
      </c>
      <c r="E12" s="2">
        <v>1988.0</v>
      </c>
      <c r="F12" s="2">
        <v>3506.0</v>
      </c>
      <c r="G12" s="3">
        <f t="shared" ref="G12:I12" si="7">F12*1.1</f>
        <v>3856.6</v>
      </c>
      <c r="H12" s="3">
        <f t="shared" si="7"/>
        <v>4242.26</v>
      </c>
      <c r="I12" s="3">
        <f t="shared" si="7"/>
        <v>4666.486</v>
      </c>
    </row>
    <row r="13">
      <c r="A13" s="1" t="s">
        <v>29</v>
      </c>
      <c r="B13" s="2">
        <v>18265.0</v>
      </c>
      <c r="C13" s="2">
        <v>21363.0</v>
      </c>
      <c r="D13" s="2">
        <v>25396.0</v>
      </c>
      <c r="E13" s="2">
        <v>34490.0</v>
      </c>
      <c r="F13" s="2">
        <v>50014.0</v>
      </c>
      <c r="G13" s="3">
        <f t="shared" ref="G13:I13" si="8">F13*1.15</f>
        <v>57516.1</v>
      </c>
      <c r="H13" s="3">
        <f t="shared" si="8"/>
        <v>66143.515</v>
      </c>
      <c r="I13" s="3">
        <f t="shared" si="8"/>
        <v>76065.04225</v>
      </c>
    </row>
    <row r="14">
      <c r="A14" s="1" t="s">
        <v>30</v>
      </c>
      <c r="B14" s="4">
        <f t="shared" ref="B14:I14" si="9">SUM(B10:B13)</f>
        <v>21188</v>
      </c>
      <c r="C14" s="4">
        <f t="shared" si="9"/>
        <v>27020</v>
      </c>
      <c r="D14" s="4">
        <f t="shared" si="9"/>
        <v>31547</v>
      </c>
      <c r="E14" s="4">
        <f t="shared" si="9"/>
        <v>40645</v>
      </c>
      <c r="F14" s="4">
        <f t="shared" si="9"/>
        <v>60561</v>
      </c>
      <c r="G14" s="11">
        <f t="shared" si="9"/>
        <v>69117.8</v>
      </c>
      <c r="H14" s="11">
        <f t="shared" si="9"/>
        <v>78905.385</v>
      </c>
      <c r="I14" s="11">
        <f t="shared" si="9"/>
        <v>90103.09925</v>
      </c>
    </row>
    <row r="16">
      <c r="A1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31</v>
      </c>
    </row>
    <row r="3">
      <c r="A3" s="10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1" t="s">
        <v>6</v>
      </c>
      <c r="H3" s="1" t="s">
        <v>7</v>
      </c>
      <c r="I3" s="1" t="s">
        <v>8</v>
      </c>
    </row>
    <row r="4">
      <c r="A4" s="1" t="s">
        <v>32</v>
      </c>
      <c r="B4" s="12">
        <v>-724.0</v>
      </c>
      <c r="C4" s="2">
        <v>1370.0</v>
      </c>
      <c r="D4" s="2">
        <v>1695.0</v>
      </c>
      <c r="E4" s="5">
        <v>-541.0</v>
      </c>
      <c r="F4" s="2">
        <v>5590.0</v>
      </c>
      <c r="G4" s="3">
        <f t="shared" ref="G4:I4" si="1">F4*1.2</f>
        <v>6708</v>
      </c>
      <c r="H4" s="3">
        <f t="shared" si="1"/>
        <v>8049.6</v>
      </c>
      <c r="I4" s="3">
        <f t="shared" si="1"/>
        <v>9659.52</v>
      </c>
    </row>
    <row r="5">
      <c r="A5" s="1" t="s">
        <v>33</v>
      </c>
      <c r="B5" s="2">
        <v>1165.0</v>
      </c>
      <c r="C5" s="2">
        <v>-1814.0</v>
      </c>
      <c r="D5" s="5">
        <v>-189.0</v>
      </c>
      <c r="E5" s="5">
        <v>546.0</v>
      </c>
      <c r="F5" s="2">
        <v>-2934.0</v>
      </c>
      <c r="G5" s="11">
        <f t="shared" ref="G5:I5" si="2">-G10</f>
        <v>-690.6</v>
      </c>
      <c r="H5" s="11">
        <f t="shared" si="2"/>
        <v>-759.66</v>
      </c>
      <c r="I5" s="11">
        <f t="shared" si="2"/>
        <v>-835.626</v>
      </c>
    </row>
    <row r="6">
      <c r="A6" s="1" t="s">
        <v>34</v>
      </c>
      <c r="B6" s="12">
        <v>-403.0</v>
      </c>
      <c r="C6" s="5">
        <v>457.0</v>
      </c>
      <c r="D6" s="2">
        <v>-1329.0</v>
      </c>
      <c r="E6" s="5">
        <v>-7.0</v>
      </c>
      <c r="F6" s="2">
        <v>-2159.0</v>
      </c>
      <c r="G6" s="2">
        <v>-2159.0</v>
      </c>
      <c r="H6" s="2">
        <v>-2159.0</v>
      </c>
      <c r="I6" s="2">
        <v>-2159.0</v>
      </c>
    </row>
    <row r="7">
      <c r="A7" s="1" t="s">
        <v>35</v>
      </c>
      <c r="B7" s="12">
        <v>38.0</v>
      </c>
      <c r="C7" s="5">
        <v>13.0</v>
      </c>
      <c r="D7" s="5">
        <v>177.0</v>
      </c>
      <c r="E7" s="5">
        <v>-2.0</v>
      </c>
      <c r="F7" s="5">
        <v>497.0</v>
      </c>
      <c r="G7" s="3">
        <f t="shared" ref="G7:I7" si="3">SUM(G4:G6)</f>
        <v>3858.4</v>
      </c>
      <c r="H7" s="3">
        <f t="shared" si="3"/>
        <v>5130.94</v>
      </c>
      <c r="I7" s="3">
        <f t="shared" si="3"/>
        <v>6664.894</v>
      </c>
    </row>
    <row r="8">
      <c r="A8" s="1" t="s">
        <v>36</v>
      </c>
      <c r="B8" s="5">
        <v>-940.0</v>
      </c>
      <c r="C8" s="5">
        <v>950.0</v>
      </c>
      <c r="D8" s="2">
        <v>1024.0</v>
      </c>
      <c r="E8" s="2">
        <v>-1011.0</v>
      </c>
      <c r="F8" s="2">
        <v>4713.0</v>
      </c>
      <c r="G8" s="11">
        <f t="shared" ref="G8:I8" si="4">G4-G10</f>
        <v>6017.4</v>
      </c>
      <c r="H8" s="11">
        <f t="shared" si="4"/>
        <v>7289.94</v>
      </c>
      <c r="I8" s="11">
        <f t="shared" si="4"/>
        <v>8823.894</v>
      </c>
    </row>
    <row r="9">
      <c r="A9" s="1" t="s">
        <v>37</v>
      </c>
      <c r="B9" s="7">
        <v>0.02</v>
      </c>
      <c r="C9" s="7">
        <v>0.52</v>
      </c>
      <c r="D9" s="7">
        <v>0.54</v>
      </c>
      <c r="E9" s="7">
        <v>0.1</v>
      </c>
      <c r="F9" s="7">
        <v>0.88</v>
      </c>
      <c r="G9" s="6">
        <f>G4/'Income Statement'!G6</f>
        <v>0.6382444282</v>
      </c>
      <c r="H9" s="6">
        <f>H4/'Income Statement'!H6</f>
        <v>0.6382444282</v>
      </c>
      <c r="I9" s="6">
        <f>I4/'Income Statement'!I6</f>
        <v>0.6382444282</v>
      </c>
    </row>
    <row r="10">
      <c r="A10" s="1" t="s">
        <v>38</v>
      </c>
      <c r="C10" s="4">
        <f>'Balance Sheet'!C10-'Balance Sheet'!B10</f>
        <v>454</v>
      </c>
      <c r="D10" s="4">
        <f>'Balance Sheet'!D10-'Balance Sheet'!C10</f>
        <v>711</v>
      </c>
      <c r="E10" s="4">
        <f>'Balance Sheet'!E10-'Balance Sheet'!D10</f>
        <v>353</v>
      </c>
      <c r="F10" s="4">
        <f>'Balance Sheet'!F10-'Balance Sheet'!E10</f>
        <v>2844</v>
      </c>
      <c r="G10" s="11">
        <f>'Balance Sheet'!G10-'Balance Sheet'!F10</f>
        <v>690.6</v>
      </c>
      <c r="H10" s="11">
        <f>'Balance Sheet'!H10-'Balance Sheet'!G10</f>
        <v>759.66</v>
      </c>
      <c r="I10" s="11">
        <f>'Balance Sheet'!I10-'Balance Sheet'!H10</f>
        <v>835.626</v>
      </c>
    </row>
  </sheetData>
  <drawing r:id="rId1"/>
</worksheet>
</file>